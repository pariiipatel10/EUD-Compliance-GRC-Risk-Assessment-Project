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e19b3d6a423182f/Desktop/"/>
    </mc:Choice>
  </mc:AlternateContent>
  <xr:revisionPtr revIDLastSave="10" documentId="8_{8CD1CFEE-D731-4EC7-9927-B2A2E7E4AD3B}" xr6:coauthVersionLast="47" xr6:coauthVersionMax="47" xr10:uidLastSave="{D8DAA5B8-9A53-4AED-B0ED-0A07F96548F7}"/>
  <bookViews>
    <workbookView xWindow="-108" yWindow="-108" windowWidth="23256" windowHeight="12456" activeTab="2" xr2:uid="{8072726E-E29E-49D3-991F-6E082BD2473F}"/>
  </bookViews>
  <sheets>
    <sheet name="IT AMNSRiskRegisterReport" sheetId="1" r:id="rId1"/>
    <sheet name="HeatMap" sheetId="2" r:id="rId2"/>
    <sheet name="Info" sheetId="3" r:id="rId3"/>
  </sheets>
  <definedNames>
    <definedName name="_xlnm._FilterDatabase" localSheetId="0" hidden="1">'IT AMNSRiskRegisterReport'!$A$1:$U$10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H4" i="1"/>
</calcChain>
</file>

<file path=xl/sharedStrings.xml><?xml version="1.0" encoding="utf-8"?>
<sst xmlns="http://schemas.openxmlformats.org/spreadsheetml/2006/main" count="225" uniqueCount="163">
  <si>
    <t>Risk Id</t>
  </si>
  <si>
    <t>Risk Title</t>
  </si>
  <si>
    <t>Causes &amp; factors</t>
  </si>
  <si>
    <t>Risk Owner</t>
  </si>
  <si>
    <t>Gross Risk Assessment</t>
  </si>
  <si>
    <t>Residual Risk Assessment</t>
  </si>
  <si>
    <t>Risk Category</t>
  </si>
  <si>
    <t>Future Direction</t>
  </si>
  <si>
    <t>Risk Mitigation Method</t>
  </si>
  <si>
    <t>Risk Management Plans</t>
  </si>
  <si>
    <t>Department</t>
  </si>
  <si>
    <t>Risk Champion</t>
  </si>
  <si>
    <t>Resp. Person (Corporate Risk Team)</t>
  </si>
  <si>
    <t>Mitigation Plan / Control Owner</t>
  </si>
  <si>
    <t>Status of Mitigation Plan / Control</t>
  </si>
  <si>
    <t>Name</t>
  </si>
  <si>
    <t>Function</t>
  </si>
  <si>
    <t>Likelihood</t>
  </si>
  <si>
    <t>Impact</t>
  </si>
  <si>
    <t>Commitment to additional actions</t>
  </si>
  <si>
    <t>Due Date</t>
  </si>
  <si>
    <t>Malware and malicious attacks</t>
  </si>
  <si>
    <t>The rising global trend of malware and malicious attacks has heightened concerns about current cybersecurity measures.</t>
  </si>
  <si>
    <t>Operational Risk</t>
  </si>
  <si>
    <t>Increasing</t>
  </si>
  <si>
    <t>Control</t>
  </si>
  <si>
    <t>Conduct a third-party penetration test and vulnerability assessment to identify and address any unknown weaknesses in the security architecture.</t>
  </si>
  <si>
    <t>IT</t>
  </si>
  <si>
    <t>Implemented</t>
  </si>
  <si>
    <t>Risk Register Report</t>
  </si>
  <si>
    <t>EUS Lead</t>
  </si>
  <si>
    <t>EUS</t>
  </si>
  <si>
    <t>Imapct</t>
  </si>
  <si>
    <t>Descp</t>
  </si>
  <si>
    <t>Risk Score</t>
  </si>
  <si>
    <t>RID -1</t>
  </si>
  <si>
    <t>RID -2</t>
  </si>
  <si>
    <t>Absence of EDR Solution</t>
  </si>
  <si>
    <t>Endpoints are not monitored for advanced threats, malware, or suspicious activity</t>
  </si>
  <si>
    <t>Cyber Risk</t>
  </si>
  <si>
    <t>Preventive Control</t>
  </si>
  <si>
    <t>Deploy EDR on all enterprise systems and monitor alerts centrally</t>
  </si>
  <si>
    <t> 31 -05-2026</t>
  </si>
  <si>
    <t>In Progress</t>
  </si>
  <si>
    <t>RID -3</t>
  </si>
  <si>
    <t>Missing Antivirus Updates</t>
  </si>
  <si>
    <t>Antivirus signatures are outdated, exposing systems to malware attacks</t>
  </si>
  <si>
    <t>Stable</t>
  </si>
  <si>
    <t>Detective Control</t>
  </si>
  <si>
    <t>Configure automatic updates and daily monitoring of AV status</t>
  </si>
  <si>
    <t>10-06-2026</t>
  </si>
  <si>
    <t>SOC</t>
  </si>
  <si>
    <t>RID -4</t>
  </si>
  <si>
    <t>No SCCM Monitoring</t>
  </si>
  <si>
    <t>Devices are not patched or inventoried due to missing SCCM management</t>
  </si>
  <si>
    <t>Compliance Risk</t>
  </si>
  <si>
    <t>Corrective Control</t>
  </si>
  <si>
    <t>Implement SCCM for patching and asset visibility</t>
  </si>
  <si>
    <t>Infra-structure</t>
  </si>
  <si>
    <t>RID - 5</t>
  </si>
  <si>
    <t>BitLocker Encryption Disabled</t>
  </si>
  <si>
    <t>Sensitive company data may be exposed if laptops are lost or stolen</t>
  </si>
  <si>
    <t>Data Security Risk</t>
  </si>
  <si>
    <t>Enable BitLocker on all portable devices and monitor compliance</t>
  </si>
  <si>
    <t>Compliance</t>
  </si>
  <si>
    <t>Planned</t>
  </si>
  <si>
    <t>RID -6</t>
  </si>
  <si>
    <t>Weak Password Policy</t>
  </si>
  <si>
    <t>Users are using simple passwords vulnerable to brute force attacks</t>
  </si>
  <si>
    <t>Access Management Risk</t>
  </si>
  <si>
    <t>Enforce MFA and strong password policies across systems</t>
  </si>
  <si>
    <t>IAM</t>
  </si>
  <si>
    <t>16-06-2026</t>
  </si>
  <si>
    <t>RID -7</t>
  </si>
  <si>
    <t>Firewall Misconfiguration</t>
  </si>
  <si>
    <t>Open ports and incorrect firewall rules may expose internal systems</t>
  </si>
  <si>
    <t>Network Risk</t>
  </si>
  <si>
    <t>Schedule weekly vulnerability scans and remediation tracking</t>
  </si>
  <si>
    <t>Conduct firewall audits and implement rule review process</t>
  </si>
  <si>
    <t>Network Security</t>
  </si>
  <si>
    <t>RID -8</t>
  </si>
  <si>
    <t>Lack of Vulnerability Scanning</t>
  </si>
  <si>
    <t>Vulnerabilities remain unidentified due to no regular scanning</t>
  </si>
  <si>
    <t>Cybersecurity Risk</t>
  </si>
  <si>
    <t>VM Team</t>
  </si>
  <si>
    <t>RID -9</t>
  </si>
  <si>
    <t>No Backup Validation</t>
  </si>
  <si>
    <t>Backup data may fail during disaster recovery due to lack of testing</t>
  </si>
  <si>
    <t>Business Continuity Risk</t>
  </si>
  <si>
    <t>Perform quarterly restore testing and backup validation</t>
  </si>
  <si>
    <t>DR Team</t>
  </si>
  <si>
    <t>RID -10</t>
  </si>
  <si>
    <t>Unauthorized USB Usage</t>
  </si>
  <si>
    <t>Employees may transfer sensitive data using external storage devices</t>
  </si>
  <si>
    <t>Insider Threat Risk</t>
  </si>
  <si>
    <t>Restrict USB access through device control policies</t>
  </si>
  <si>
    <t>IT Operations</t>
  </si>
  <si>
    <t>RID -11</t>
  </si>
  <si>
    <t>Inactive User Accounts Not Removed</t>
  </si>
  <si>
    <t>Former employees may still access company resources</t>
  </si>
  <si>
    <t>Identity Risk</t>
  </si>
  <si>
    <t>Automate user deprovisioning after employee exit</t>
  </si>
  <si>
    <t>HR IT</t>
  </si>
  <si>
    <t>RID -12</t>
  </si>
  <si>
    <t>Web Proxy Not Configured</t>
  </si>
  <si>
    <t>Employees may access malicious websites leading to phishing attacks</t>
  </si>
  <si>
    <t>Internet Security Risk</t>
  </si>
  <si>
    <t>Configure secure web proxy and URL filtering policies</t>
  </si>
  <si>
    <t>RID -13</t>
  </si>
  <si>
    <t>Lack of Security Awareness Training</t>
  </si>
  <si>
    <t>Employees may fall victim to phishing or social engineering attacks</t>
  </si>
  <si>
    <t>Human Risk</t>
  </si>
  <si>
    <t>Conduct monthly phishing simulation and awareness sessions</t>
  </si>
  <si>
    <t>HR &amp; Security</t>
  </si>
  <si>
    <t>IMPACT LEVEL</t>
  </si>
  <si>
    <t>Probability Level</t>
  </si>
  <si>
    <t>Description</t>
  </si>
  <si>
    <t>Score</t>
  </si>
  <si>
    <t>Rare</t>
  </si>
  <si>
    <t>Very unlikely to occur. May happen only in exceptional situations.</t>
  </si>
  <si>
    <t>Unlikely</t>
  </si>
  <si>
    <t>Could occur at some point but not expected frequently</t>
  </si>
  <si>
    <t>Possible</t>
  </si>
  <si>
    <t>Might occur occasionally under certain condition</t>
  </si>
  <si>
    <t>Likely</t>
  </si>
  <si>
    <t>Expected to occur multiple times due to existing vulnerabilities or weak controls.</t>
  </si>
  <si>
    <t xml:space="preserve">Almost Certain </t>
  </si>
  <si>
    <t>Highly expected to occur frequently or already occurring in the environment.</t>
  </si>
  <si>
    <t>Insignificant</t>
  </si>
  <si>
    <t>Minimal effect on business operations, no major financial or security loss.</t>
  </si>
  <si>
    <t>Minor</t>
  </si>
  <si>
    <t>Small operational disruption with limited financial or reputational impact</t>
  </si>
  <si>
    <t>Moderate</t>
  </si>
  <si>
    <t>Noticeable business impact, moderate financial loss, or temporary service interruption.</t>
  </si>
  <si>
    <t>Major</t>
  </si>
  <si>
    <t>Serious operational disruption, significant data loss, compliance issues, or financial damage.</t>
  </si>
  <si>
    <t>Critical</t>
  </si>
  <si>
    <t>Severe business impact causing major financial loss, legal penalties, reputational damage, or complete service outage.</t>
  </si>
  <si>
    <t>Impact ↓ / Likelihood →</t>
  </si>
  <si>
    <t>1 Rare</t>
  </si>
  <si>
    <t>2 Unlikely</t>
  </si>
  <si>
    <t>3 Possible</t>
  </si>
  <si>
    <t>4 Likely</t>
  </si>
  <si>
    <t>5 Almost Certain</t>
  </si>
  <si>
    <t>Critical (5)</t>
  </si>
  <si>
    <t>Major (4)</t>
  </si>
  <si>
    <t>Moderate (3)</t>
  </si>
  <si>
    <t>Minor (2)</t>
  </si>
  <si>
    <t>Insignificant (1)</t>
  </si>
  <si>
    <t>Risk Level</t>
  </si>
  <si>
    <t>Action</t>
  </si>
  <si>
    <t>1–5</t>
  </si>
  <si>
    <t>Low Risk</t>
  </si>
  <si>
    <t>Monitor</t>
  </si>
  <si>
    <t>6–10</t>
  </si>
  <si>
    <t>Medium Risk</t>
  </si>
  <si>
    <t>Action Required</t>
  </si>
  <si>
    <t>11–15</t>
  </si>
  <si>
    <t>High Risk</t>
  </si>
  <si>
    <t>Urgent Action</t>
  </si>
  <si>
    <t>16–25</t>
  </si>
  <si>
    <t>Critical Risk</t>
  </si>
  <si>
    <t>Immediate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</si>
</sst>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3366"/>
        <bgColor indexed="64"/>
      </patternFill>
    </fill>
    <fill>
      <patternFill patternType="solid">
        <fgColor rgb="FFBBB8B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49" fontId="16" fillId="34" borderId="10" xfId="0" applyNumberFormat="1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9" fontId="16" fillId="34" borderId="10" xfId="0" applyNumberFormat="1" applyFont="1" applyFill="1" applyBorder="1" applyAlignment="1">
      <alignment horizontal="center" vertical="center" wrapText="1"/>
    </xf>
    <xf numFmtId="49" fontId="18" fillId="33" borderId="10" xfId="0" applyNumberFormat="1" applyFont="1" applyFill="1" applyBorder="1" applyAlignment="1">
      <alignment horizontal="center" vertical="center" wrapText="1"/>
    </xf>
    <xf numFmtId="0" fontId="16" fillId="36" borderId="10" xfId="0" applyFon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 wrapText="1"/>
    </xf>
    <xf numFmtId="0" fontId="0" fillId="40" borderId="10" xfId="0" applyFill="1" applyBorder="1" applyAlignment="1">
      <alignment horizontal="center" vertical="center" wrapText="1"/>
    </xf>
    <xf numFmtId="0" fontId="0" fillId="41" borderId="10" xfId="0" applyFill="1" applyBorder="1" applyAlignment="1">
      <alignment horizontal="center" vertical="center" wrapText="1"/>
    </xf>
    <xf numFmtId="0" fontId="0" fillId="39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vertical="center" wrapText="1"/>
    </xf>
    <xf numFmtId="0" fontId="0" fillId="40" borderId="10" xfId="0" applyFill="1" applyBorder="1" applyAlignment="1">
      <alignment vertical="center" wrapText="1"/>
    </xf>
    <xf numFmtId="0" fontId="0" fillId="41" borderId="10" xfId="0" applyFill="1" applyBorder="1" applyAlignment="1">
      <alignment vertical="center" wrapText="1"/>
    </xf>
    <xf numFmtId="0" fontId="0" fillId="35" borderId="10" xfId="0" applyFill="1" applyBorder="1" applyAlignment="1">
      <alignment vertical="center" wrapText="1"/>
    </xf>
    <xf numFmtId="0" fontId="0" fillId="37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00"/>
      <color rgb="FFFD6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3F09-F977-4902-B4CC-299222DB11AF}">
  <dimension ref="A1:U16"/>
  <sheetViews>
    <sheetView showGridLines="0" topLeftCell="M2" zoomScale="84" zoomScaleNormal="60" workbookViewId="0">
      <selection activeCell="H25" sqref="H25"/>
    </sheetView>
  </sheetViews>
  <sheetFormatPr defaultRowHeight="14.4" x14ac:dyDescent="0.3"/>
  <cols>
    <col min="1" max="1" width="9.5546875" style="3" bestFit="1" customWidth="1"/>
    <col min="2" max="2" width="31.77734375" style="3" bestFit="1" customWidth="1"/>
    <col min="3" max="3" width="70.44140625" style="3" bestFit="1" customWidth="1"/>
    <col min="4" max="4" width="11" style="3" bestFit="1" customWidth="1"/>
    <col min="5" max="5" width="11.5546875" style="3" bestFit="1" customWidth="1"/>
    <col min="6" max="6" width="13.44140625" style="3" bestFit="1" customWidth="1"/>
    <col min="7" max="7" width="9.21875" style="3" bestFit="1" customWidth="1"/>
    <col min="8" max="8" width="13.77734375" style="3" bestFit="1" customWidth="1"/>
    <col min="9" max="9" width="13.44140625" style="3" bestFit="1" customWidth="1"/>
    <col min="10" max="10" width="9.21875" style="3" bestFit="1" customWidth="1"/>
    <col min="11" max="11" width="13.77734375" style="3" bestFit="1" customWidth="1"/>
    <col min="12" max="12" width="19.88671875" style="3" bestFit="1" customWidth="1"/>
    <col min="13" max="13" width="20.33203125" style="3" bestFit="1" customWidth="1"/>
    <col min="14" max="14" width="28.21875" style="3" bestFit="1" customWidth="1"/>
    <col min="15" max="15" width="52.33203125" style="3" bestFit="1" customWidth="1"/>
    <col min="16" max="16" width="11.77734375" style="3" bestFit="1" customWidth="1"/>
    <col min="17" max="17" width="14.6640625" style="3" bestFit="1" customWidth="1"/>
    <col min="18" max="18" width="19" style="3" bestFit="1" customWidth="1"/>
    <col min="19" max="19" width="44.33203125" style="3" bestFit="1" customWidth="1"/>
    <col min="20" max="20" width="38.109375" style="3" bestFit="1" customWidth="1"/>
    <col min="21" max="21" width="41" style="3" bestFit="1" customWidth="1"/>
    <col min="22" max="16384" width="8.88671875" style="3"/>
  </cols>
  <sheetData>
    <row r="1" spans="1:21" ht="15.75" customHeight="1" x14ac:dyDescent="0.3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/>
      <c r="F2" s="9" t="s">
        <v>4</v>
      </c>
      <c r="G2" s="9"/>
      <c r="H2" s="9"/>
      <c r="I2" s="9" t="s">
        <v>5</v>
      </c>
      <c r="J2" s="9"/>
      <c r="K2" s="9"/>
      <c r="L2" s="9" t="s">
        <v>6</v>
      </c>
      <c r="M2" s="9" t="s">
        <v>7</v>
      </c>
      <c r="N2" s="9" t="s">
        <v>8</v>
      </c>
      <c r="O2" s="9" t="s">
        <v>9</v>
      </c>
      <c r="P2" s="9"/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</row>
    <row r="3" spans="1:21" x14ac:dyDescent="0.3">
      <c r="A3" s="9"/>
      <c r="B3" s="9"/>
      <c r="C3" s="9"/>
      <c r="D3" s="1" t="s">
        <v>15</v>
      </c>
      <c r="E3" s="1" t="s">
        <v>16</v>
      </c>
      <c r="F3" s="1" t="s">
        <v>17</v>
      </c>
      <c r="G3" s="1" t="s">
        <v>18</v>
      </c>
      <c r="H3" s="1" t="s">
        <v>34</v>
      </c>
      <c r="I3" s="1" t="s">
        <v>17</v>
      </c>
      <c r="J3" s="1" t="s">
        <v>18</v>
      </c>
      <c r="K3" s="1" t="s">
        <v>34</v>
      </c>
      <c r="L3" s="9"/>
      <c r="M3" s="9"/>
      <c r="N3" s="9"/>
      <c r="O3" s="1" t="s">
        <v>19</v>
      </c>
      <c r="P3" s="1" t="s">
        <v>20</v>
      </c>
      <c r="Q3" s="9"/>
      <c r="R3" s="9"/>
      <c r="S3" s="9"/>
      <c r="T3" s="9"/>
      <c r="U3" s="9"/>
    </row>
    <row r="4" spans="1:21" ht="57.6" x14ac:dyDescent="0.3">
      <c r="A4" s="2" t="s">
        <v>35</v>
      </c>
      <c r="B4" s="2" t="s">
        <v>21</v>
      </c>
      <c r="C4" s="2" t="s">
        <v>22</v>
      </c>
      <c r="D4" s="2" t="s">
        <v>30</v>
      </c>
      <c r="E4" s="2" t="s">
        <v>31</v>
      </c>
      <c r="F4" s="5">
        <v>3</v>
      </c>
      <c r="G4" s="5">
        <v>4</v>
      </c>
      <c r="H4" s="6">
        <f>F4*G4</f>
        <v>12</v>
      </c>
      <c r="I4" s="5">
        <v>1</v>
      </c>
      <c r="J4" s="5">
        <v>1</v>
      </c>
      <c r="K4" s="5">
        <f>I4*J4</f>
        <v>1</v>
      </c>
      <c r="L4" s="2" t="s">
        <v>23</v>
      </c>
      <c r="M4" s="2" t="s">
        <v>24</v>
      </c>
      <c r="N4" s="2" t="s">
        <v>25</v>
      </c>
      <c r="O4" s="2" t="s">
        <v>26</v>
      </c>
      <c r="P4" s="4" t="s">
        <v>42</v>
      </c>
      <c r="Q4" s="2" t="s">
        <v>27</v>
      </c>
      <c r="R4" s="2"/>
      <c r="S4" s="2"/>
      <c r="T4" s="2"/>
      <c r="U4" s="2" t="s">
        <v>28</v>
      </c>
    </row>
    <row r="5" spans="1:21" ht="28.8" x14ac:dyDescent="0.3">
      <c r="A5" s="2" t="s">
        <v>36</v>
      </c>
      <c r="B5" s="3" t="s">
        <v>37</v>
      </c>
      <c r="C5" s="5" t="s">
        <v>38</v>
      </c>
      <c r="D5" s="2" t="s">
        <v>30</v>
      </c>
      <c r="E5" s="2" t="s">
        <v>31</v>
      </c>
      <c r="F5" s="5">
        <v>5</v>
      </c>
      <c r="G5" s="5">
        <v>5</v>
      </c>
      <c r="H5" s="6">
        <v>25</v>
      </c>
      <c r="I5" s="5">
        <v>2</v>
      </c>
      <c r="J5" s="5">
        <v>3</v>
      </c>
      <c r="K5" s="5">
        <v>6</v>
      </c>
      <c r="L5" s="2" t="s">
        <v>39</v>
      </c>
      <c r="M5" s="2" t="s">
        <v>24</v>
      </c>
      <c r="N5" s="2" t="s">
        <v>40</v>
      </c>
      <c r="O5" s="2" t="s">
        <v>41</v>
      </c>
      <c r="P5" s="8">
        <v>46188</v>
      </c>
      <c r="Q5" s="2" t="s">
        <v>27</v>
      </c>
      <c r="R5" s="2"/>
      <c r="S5" s="2"/>
      <c r="T5" s="2"/>
      <c r="U5" s="2" t="s">
        <v>43</v>
      </c>
    </row>
    <row r="6" spans="1:21" ht="37.799999999999997" customHeight="1" x14ac:dyDescent="0.3">
      <c r="A6" s="2" t="s">
        <v>44</v>
      </c>
      <c r="B6" s="2" t="s">
        <v>45</v>
      </c>
      <c r="C6" s="2" t="s">
        <v>46</v>
      </c>
      <c r="D6" s="2" t="s">
        <v>30</v>
      </c>
      <c r="E6" s="2" t="s">
        <v>31</v>
      </c>
      <c r="F6" s="5">
        <v>4</v>
      </c>
      <c r="G6" s="5">
        <v>4</v>
      </c>
      <c r="H6" s="6">
        <v>16</v>
      </c>
      <c r="I6" s="5">
        <v>2</v>
      </c>
      <c r="J6" s="5">
        <v>2</v>
      </c>
      <c r="K6" s="5">
        <v>4</v>
      </c>
      <c r="L6" s="2" t="s">
        <v>23</v>
      </c>
      <c r="M6" s="2" t="s">
        <v>47</v>
      </c>
      <c r="N6" s="2" t="s">
        <v>48</v>
      </c>
      <c r="O6" s="2" t="s">
        <v>49</v>
      </c>
      <c r="P6" s="2" t="s">
        <v>50</v>
      </c>
      <c r="Q6" s="2" t="s">
        <v>51</v>
      </c>
      <c r="R6" s="2"/>
      <c r="S6" s="2"/>
      <c r="T6" s="2"/>
      <c r="U6" s="2" t="s">
        <v>28</v>
      </c>
    </row>
    <row r="7" spans="1:21" ht="29.4" customHeight="1" x14ac:dyDescent="0.3">
      <c r="A7" s="2" t="s">
        <v>52</v>
      </c>
      <c r="B7" s="3" t="s">
        <v>53</v>
      </c>
      <c r="C7" s="2" t="s">
        <v>54</v>
      </c>
      <c r="D7" s="2" t="s">
        <v>30</v>
      </c>
      <c r="E7" s="2" t="s">
        <v>31</v>
      </c>
      <c r="F7" s="5">
        <v>4</v>
      </c>
      <c r="G7" s="5">
        <v>5</v>
      </c>
      <c r="H7" s="6">
        <v>20</v>
      </c>
      <c r="I7" s="5">
        <v>2</v>
      </c>
      <c r="J7" s="5">
        <v>3</v>
      </c>
      <c r="K7" s="5">
        <v>6</v>
      </c>
      <c r="L7" s="2" t="s">
        <v>55</v>
      </c>
      <c r="M7" s="2" t="s">
        <v>24</v>
      </c>
      <c r="N7" s="2" t="s">
        <v>56</v>
      </c>
      <c r="O7" s="2" t="s">
        <v>57</v>
      </c>
      <c r="P7" s="4">
        <v>46198</v>
      </c>
      <c r="Q7" s="2" t="s">
        <v>58</v>
      </c>
      <c r="R7" s="2"/>
      <c r="S7" s="2"/>
      <c r="T7" s="2"/>
      <c r="U7" s="2" t="s">
        <v>43</v>
      </c>
    </row>
    <row r="8" spans="1:21" ht="30.6" customHeight="1" x14ac:dyDescent="0.3">
      <c r="A8" s="2" t="s">
        <v>59</v>
      </c>
      <c r="B8" s="3" t="s">
        <v>60</v>
      </c>
      <c r="C8" s="2" t="s">
        <v>61</v>
      </c>
      <c r="D8" s="2" t="s">
        <v>30</v>
      </c>
      <c r="E8" s="2" t="s">
        <v>31</v>
      </c>
      <c r="F8" s="5">
        <v>3</v>
      </c>
      <c r="G8" s="5">
        <v>5</v>
      </c>
      <c r="H8" s="6">
        <v>15</v>
      </c>
      <c r="I8" s="5">
        <v>1</v>
      </c>
      <c r="J8" s="5">
        <v>2</v>
      </c>
      <c r="K8" s="5">
        <v>2</v>
      </c>
      <c r="L8" s="2" t="s">
        <v>62</v>
      </c>
      <c r="M8" s="2" t="s">
        <v>24</v>
      </c>
      <c r="N8" s="2" t="s">
        <v>40</v>
      </c>
      <c r="O8" s="2" t="s">
        <v>63</v>
      </c>
      <c r="P8" s="4">
        <v>46196</v>
      </c>
      <c r="Q8" s="2" t="s">
        <v>64</v>
      </c>
      <c r="R8" s="2"/>
      <c r="S8" s="2"/>
      <c r="T8" s="2"/>
      <c r="U8" s="2" t="s">
        <v>65</v>
      </c>
    </row>
    <row r="9" spans="1:21" ht="28.8" customHeight="1" x14ac:dyDescent="0.3">
      <c r="A9" s="2" t="s">
        <v>66</v>
      </c>
      <c r="B9" s="2" t="s">
        <v>67</v>
      </c>
      <c r="C9" s="2" t="s">
        <v>68</v>
      </c>
      <c r="D9" s="2" t="s">
        <v>30</v>
      </c>
      <c r="E9" s="2" t="s">
        <v>31</v>
      </c>
      <c r="F9" s="5">
        <v>5</v>
      </c>
      <c r="G9" s="5">
        <v>4</v>
      </c>
      <c r="H9" s="6">
        <v>20</v>
      </c>
      <c r="I9" s="5">
        <v>2</v>
      </c>
      <c r="J9" s="5">
        <v>2</v>
      </c>
      <c r="K9" s="5">
        <v>4</v>
      </c>
      <c r="L9" s="2" t="s">
        <v>69</v>
      </c>
      <c r="M9" s="2" t="s">
        <v>24</v>
      </c>
      <c r="N9" s="2" t="s">
        <v>40</v>
      </c>
      <c r="O9" s="2" t="s">
        <v>70</v>
      </c>
      <c r="P9" s="2" t="s">
        <v>72</v>
      </c>
      <c r="Q9" s="2" t="s">
        <v>71</v>
      </c>
      <c r="R9" s="2"/>
      <c r="S9" s="2"/>
      <c r="T9" s="2"/>
      <c r="U9" s="2" t="s">
        <v>43</v>
      </c>
    </row>
    <row r="10" spans="1:21" ht="28.2" customHeight="1" x14ac:dyDescent="0.3">
      <c r="A10" s="2" t="s">
        <v>73</v>
      </c>
      <c r="B10" s="3" t="s">
        <v>74</v>
      </c>
      <c r="C10" s="2" t="s">
        <v>75</v>
      </c>
      <c r="D10" s="2" t="s">
        <v>30</v>
      </c>
      <c r="E10" s="2" t="s">
        <v>31</v>
      </c>
      <c r="F10" s="5">
        <v>4</v>
      </c>
      <c r="G10" s="5">
        <v>5</v>
      </c>
      <c r="H10" s="6">
        <v>20</v>
      </c>
      <c r="I10" s="5">
        <v>2</v>
      </c>
      <c r="J10" s="5">
        <v>3</v>
      </c>
      <c r="K10" s="5">
        <v>6</v>
      </c>
      <c r="L10" s="2" t="s">
        <v>76</v>
      </c>
      <c r="M10" s="2" t="s">
        <v>24</v>
      </c>
      <c r="N10" s="2" t="s">
        <v>40</v>
      </c>
      <c r="O10" s="5" t="s">
        <v>78</v>
      </c>
      <c r="P10" s="2" t="s">
        <v>50</v>
      </c>
      <c r="Q10" s="2" t="s">
        <v>79</v>
      </c>
      <c r="R10" s="2"/>
      <c r="S10" s="2"/>
      <c r="T10" s="2"/>
      <c r="U10" s="2" t="s">
        <v>43</v>
      </c>
    </row>
    <row r="11" spans="1:21" ht="28.8" customHeight="1" x14ac:dyDescent="0.3">
      <c r="A11" s="2" t="s">
        <v>80</v>
      </c>
      <c r="B11" s="3" t="s">
        <v>81</v>
      </c>
      <c r="C11" s="5" t="s">
        <v>82</v>
      </c>
      <c r="D11" s="3" t="s">
        <v>30</v>
      </c>
      <c r="E11" s="2" t="s">
        <v>31</v>
      </c>
      <c r="F11" s="3">
        <v>5</v>
      </c>
      <c r="G11" s="3">
        <v>5</v>
      </c>
      <c r="H11" s="3">
        <v>25</v>
      </c>
      <c r="I11" s="3">
        <v>2</v>
      </c>
      <c r="J11" s="3">
        <v>3</v>
      </c>
      <c r="K11" s="3">
        <v>6</v>
      </c>
      <c r="L11" s="5" t="s">
        <v>83</v>
      </c>
      <c r="M11" s="2" t="s">
        <v>24</v>
      </c>
      <c r="N11" s="3" t="s">
        <v>48</v>
      </c>
      <c r="O11" s="5" t="s">
        <v>77</v>
      </c>
      <c r="P11" s="8">
        <v>46204</v>
      </c>
      <c r="Q11" s="3" t="s">
        <v>84</v>
      </c>
      <c r="R11" s="2"/>
      <c r="S11" s="2"/>
      <c r="T11" s="2"/>
      <c r="U11" s="2" t="s">
        <v>65</v>
      </c>
    </row>
    <row r="12" spans="1:21" ht="31.8" customHeight="1" x14ac:dyDescent="0.3">
      <c r="A12" s="2" t="s">
        <v>85</v>
      </c>
      <c r="B12" s="3" t="s">
        <v>86</v>
      </c>
      <c r="C12" s="5" t="s">
        <v>87</v>
      </c>
      <c r="D12" s="3" t="s">
        <v>30</v>
      </c>
      <c r="E12" s="2" t="s">
        <v>31</v>
      </c>
      <c r="F12" s="3">
        <v>3</v>
      </c>
      <c r="G12" s="3">
        <v>5</v>
      </c>
      <c r="H12" s="3">
        <v>15</v>
      </c>
      <c r="I12" s="3">
        <v>2</v>
      </c>
      <c r="J12" s="3">
        <v>2</v>
      </c>
      <c r="K12" s="3">
        <v>4</v>
      </c>
      <c r="L12" s="5" t="s">
        <v>88</v>
      </c>
      <c r="M12" s="2" t="s">
        <v>47</v>
      </c>
      <c r="N12" s="2" t="s">
        <v>56</v>
      </c>
      <c r="O12" s="5" t="s">
        <v>89</v>
      </c>
      <c r="P12" s="8">
        <v>46180</v>
      </c>
      <c r="Q12" s="3" t="s">
        <v>90</v>
      </c>
      <c r="R12" s="2"/>
      <c r="S12" s="2"/>
      <c r="T12" s="2"/>
      <c r="U12" s="2" t="s">
        <v>43</v>
      </c>
    </row>
    <row r="13" spans="1:21" ht="27" customHeight="1" x14ac:dyDescent="0.3">
      <c r="A13" s="3" t="s">
        <v>91</v>
      </c>
      <c r="B13" s="3" t="s">
        <v>92</v>
      </c>
      <c r="C13" s="5" t="s">
        <v>93</v>
      </c>
      <c r="D13" s="3" t="s">
        <v>30</v>
      </c>
      <c r="E13" s="2" t="s">
        <v>31</v>
      </c>
      <c r="F13" s="3">
        <v>4</v>
      </c>
      <c r="G13" s="3">
        <v>4</v>
      </c>
      <c r="H13" s="3">
        <v>16</v>
      </c>
      <c r="I13" s="3">
        <v>2</v>
      </c>
      <c r="J13" s="3">
        <v>2</v>
      </c>
      <c r="K13" s="3">
        <v>4</v>
      </c>
      <c r="L13" s="5" t="s">
        <v>94</v>
      </c>
      <c r="M13" s="2" t="s">
        <v>24</v>
      </c>
      <c r="N13" s="2" t="s">
        <v>40</v>
      </c>
      <c r="O13" s="5" t="s">
        <v>95</v>
      </c>
      <c r="P13" s="8">
        <v>46217</v>
      </c>
      <c r="Q13" s="3" t="s">
        <v>96</v>
      </c>
      <c r="R13" s="2"/>
      <c r="S13" s="2"/>
      <c r="T13" s="2"/>
      <c r="U13" s="2" t="s">
        <v>65</v>
      </c>
    </row>
    <row r="14" spans="1:21" ht="33" customHeight="1" x14ac:dyDescent="0.3">
      <c r="A14" s="3" t="s">
        <v>97</v>
      </c>
      <c r="B14" s="5" t="s">
        <v>98</v>
      </c>
      <c r="C14" s="5" t="s">
        <v>99</v>
      </c>
      <c r="D14" s="3" t="s">
        <v>30</v>
      </c>
      <c r="E14" s="2" t="s">
        <v>31</v>
      </c>
      <c r="F14" s="3">
        <v>4</v>
      </c>
      <c r="G14" s="3">
        <v>5</v>
      </c>
      <c r="H14" s="3">
        <v>20</v>
      </c>
      <c r="I14" s="3">
        <v>2</v>
      </c>
      <c r="J14" s="3">
        <v>2</v>
      </c>
      <c r="K14" s="3">
        <v>4</v>
      </c>
      <c r="L14" s="3" t="s">
        <v>100</v>
      </c>
      <c r="M14" s="2" t="s">
        <v>24</v>
      </c>
      <c r="N14" s="2" t="s">
        <v>56</v>
      </c>
      <c r="O14" s="5" t="s">
        <v>101</v>
      </c>
      <c r="P14" s="8">
        <v>46250</v>
      </c>
      <c r="Q14" s="3" t="s">
        <v>102</v>
      </c>
      <c r="U14" s="2" t="s">
        <v>43</v>
      </c>
    </row>
    <row r="15" spans="1:21" ht="33" customHeight="1" x14ac:dyDescent="0.3">
      <c r="A15" s="3" t="s">
        <v>103</v>
      </c>
      <c r="B15" s="3" t="s">
        <v>104</v>
      </c>
      <c r="C15" s="5" t="s">
        <v>105</v>
      </c>
      <c r="D15" s="3" t="s">
        <v>30</v>
      </c>
      <c r="E15" s="2" t="s">
        <v>31</v>
      </c>
      <c r="F15" s="3">
        <v>5</v>
      </c>
      <c r="G15" s="3">
        <v>4</v>
      </c>
      <c r="H15" s="3">
        <v>20</v>
      </c>
      <c r="I15" s="3">
        <v>2</v>
      </c>
      <c r="J15" s="3">
        <v>3</v>
      </c>
      <c r="K15" s="3">
        <v>6</v>
      </c>
      <c r="L15" s="5" t="s">
        <v>106</v>
      </c>
      <c r="M15" s="2" t="s">
        <v>24</v>
      </c>
      <c r="N15" s="2" t="s">
        <v>40</v>
      </c>
      <c r="O15" s="5" t="s">
        <v>107</v>
      </c>
      <c r="P15" s="8">
        <v>46217</v>
      </c>
      <c r="Q15" s="5" t="s">
        <v>79</v>
      </c>
      <c r="U15" s="2" t="s">
        <v>65</v>
      </c>
    </row>
    <row r="16" spans="1:21" ht="30.6" customHeight="1" x14ac:dyDescent="0.3">
      <c r="A16" s="3" t="s">
        <v>108</v>
      </c>
      <c r="B16" s="5" t="s">
        <v>109</v>
      </c>
      <c r="C16" s="5" t="s">
        <v>110</v>
      </c>
      <c r="D16" s="3" t="s">
        <v>30</v>
      </c>
      <c r="E16" s="2" t="s">
        <v>31</v>
      </c>
      <c r="F16" s="3">
        <v>5</v>
      </c>
      <c r="G16" s="3">
        <v>4</v>
      </c>
      <c r="H16" s="3">
        <v>20</v>
      </c>
      <c r="I16" s="3">
        <v>2</v>
      </c>
      <c r="J16" s="3">
        <v>2</v>
      </c>
      <c r="K16" s="3">
        <v>4</v>
      </c>
      <c r="L16" s="3" t="s">
        <v>111</v>
      </c>
      <c r="M16" s="2" t="s">
        <v>24</v>
      </c>
      <c r="N16" s="2" t="s">
        <v>40</v>
      </c>
      <c r="O16" s="5" t="s">
        <v>112</v>
      </c>
      <c r="P16" s="8">
        <v>46226</v>
      </c>
      <c r="Q16" s="5" t="s">
        <v>113</v>
      </c>
      <c r="U16" s="2" t="s">
        <v>43</v>
      </c>
    </row>
  </sheetData>
  <mergeCells count="16">
    <mergeCell ref="S2:S3"/>
    <mergeCell ref="T2:T3"/>
    <mergeCell ref="U2:U3"/>
    <mergeCell ref="A1:U1"/>
    <mergeCell ref="A2:A3"/>
    <mergeCell ref="B2:B3"/>
    <mergeCell ref="C2:C3"/>
    <mergeCell ref="D2:E2"/>
    <mergeCell ref="F2:H2"/>
    <mergeCell ref="I2:K2"/>
    <mergeCell ref="L2:L3"/>
    <mergeCell ref="M2:M3"/>
    <mergeCell ref="N2:N3"/>
    <mergeCell ref="O2:P2"/>
    <mergeCell ref="Q2:Q3"/>
    <mergeCell ref="R2:R3"/>
  </mergeCells>
  <pageMargins left="0.75" right="0.75" top="1" bottom="1" header="0.5" footer="0.5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9E5A-9AB4-4E16-9394-0967FEFDD8B7}">
  <dimension ref="A1:K6"/>
  <sheetViews>
    <sheetView workbookViewId="0">
      <selection activeCell="O5" sqref="O5"/>
    </sheetView>
  </sheetViews>
  <sheetFormatPr defaultRowHeight="14.4" x14ac:dyDescent="0.3"/>
  <cols>
    <col min="1" max="1" width="18.5546875" style="7" bestFit="1" customWidth="1"/>
    <col min="2" max="2" width="8.88671875" style="7"/>
    <col min="3" max="3" width="9.44140625" style="7" customWidth="1"/>
    <col min="4" max="5" width="11.33203125" style="7" customWidth="1"/>
    <col min="6" max="6" width="19.88671875" style="7" customWidth="1"/>
    <col min="7" max="7" width="8.88671875" style="7"/>
    <col min="8" max="8" width="8.77734375" style="7" customWidth="1"/>
    <col min="9" max="10" width="8.88671875" style="7"/>
    <col min="11" max="11" width="19.5546875" style="7" customWidth="1"/>
    <col min="12" max="16384" width="8.88671875" style="7"/>
  </cols>
  <sheetData>
    <row r="1" spans="1:11" ht="28.8" x14ac:dyDescent="0.3">
      <c r="A1" s="11" t="s">
        <v>138</v>
      </c>
      <c r="B1" s="11" t="s">
        <v>139</v>
      </c>
      <c r="C1" s="11" t="s">
        <v>140</v>
      </c>
      <c r="D1" s="11" t="s">
        <v>141</v>
      </c>
      <c r="E1" s="11" t="s">
        <v>142</v>
      </c>
      <c r="F1" s="11" t="s">
        <v>143</v>
      </c>
      <c r="I1" s="11" t="s">
        <v>34</v>
      </c>
      <c r="J1" s="11" t="s">
        <v>149</v>
      </c>
      <c r="K1" s="11" t="s">
        <v>150</v>
      </c>
    </row>
    <row r="2" spans="1:11" x14ac:dyDescent="0.3">
      <c r="A2" s="12" t="s">
        <v>144</v>
      </c>
      <c r="B2" s="13">
        <v>5</v>
      </c>
      <c r="C2" s="14">
        <v>10</v>
      </c>
      <c r="D2" s="15">
        <v>15</v>
      </c>
      <c r="E2" s="12">
        <v>20</v>
      </c>
      <c r="F2" s="12">
        <v>25</v>
      </c>
      <c r="I2" s="17" t="s">
        <v>151</v>
      </c>
      <c r="J2" s="17" t="s">
        <v>152</v>
      </c>
      <c r="K2" s="17" t="s">
        <v>153</v>
      </c>
    </row>
    <row r="3" spans="1:11" ht="28.8" x14ac:dyDescent="0.3">
      <c r="A3" s="15" t="s">
        <v>145</v>
      </c>
      <c r="B3" s="13">
        <v>4</v>
      </c>
      <c r="C3" s="14">
        <v>8</v>
      </c>
      <c r="D3" s="15">
        <v>12</v>
      </c>
      <c r="E3" s="12">
        <v>16</v>
      </c>
      <c r="F3" s="12">
        <v>20</v>
      </c>
      <c r="I3" s="18" t="s">
        <v>154</v>
      </c>
      <c r="J3" s="18" t="s">
        <v>155</v>
      </c>
      <c r="K3" s="18" t="s">
        <v>156</v>
      </c>
    </row>
    <row r="4" spans="1:11" x14ac:dyDescent="0.3">
      <c r="A4" s="14" t="s">
        <v>146</v>
      </c>
      <c r="B4" s="13">
        <v>3</v>
      </c>
      <c r="C4" s="14">
        <v>6</v>
      </c>
      <c r="D4" s="14">
        <v>9</v>
      </c>
      <c r="E4" s="15">
        <v>12</v>
      </c>
      <c r="F4" s="15">
        <v>15</v>
      </c>
      <c r="I4" s="19" t="s">
        <v>157</v>
      </c>
      <c r="J4" s="19" t="s">
        <v>158</v>
      </c>
      <c r="K4" s="19" t="s">
        <v>159</v>
      </c>
    </row>
    <row r="5" spans="1:11" ht="35.4" customHeight="1" x14ac:dyDescent="0.3">
      <c r="A5" s="16" t="s">
        <v>147</v>
      </c>
      <c r="B5" s="13">
        <v>2</v>
      </c>
      <c r="C5" s="13">
        <v>4</v>
      </c>
      <c r="D5" s="14">
        <v>6</v>
      </c>
      <c r="E5" s="14">
        <v>8</v>
      </c>
      <c r="F5" s="14">
        <v>10</v>
      </c>
      <c r="I5" s="20" t="s">
        <v>160</v>
      </c>
      <c r="J5" s="20" t="s">
        <v>161</v>
      </c>
      <c r="K5" s="12" t="s">
        <v>162</v>
      </c>
    </row>
    <row r="6" spans="1:11" ht="21" customHeight="1" x14ac:dyDescent="0.3">
      <c r="A6" s="13" t="s">
        <v>148</v>
      </c>
      <c r="B6" s="13">
        <v>1</v>
      </c>
      <c r="C6" s="13">
        <v>2</v>
      </c>
      <c r="D6" s="13">
        <v>3</v>
      </c>
      <c r="E6" s="13">
        <v>4</v>
      </c>
      <c r="F6" s="13">
        <v>5</v>
      </c>
    </row>
  </sheetData>
  <conditionalFormatting sqref="I2: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D90C-6D8B-4857-B200-9C881C25A29F}">
  <dimension ref="A1:I6"/>
  <sheetViews>
    <sheetView tabSelected="1" workbookViewId="0">
      <selection activeCell="K3" sqref="K3"/>
    </sheetView>
  </sheetViews>
  <sheetFormatPr defaultRowHeight="14.4" x14ac:dyDescent="0.3"/>
  <cols>
    <col min="1" max="1" width="17.5546875" customWidth="1"/>
    <col min="2" max="2" width="10.6640625" customWidth="1"/>
    <col min="3" max="3" width="20.109375" customWidth="1"/>
    <col min="7" max="7" width="16.109375" customWidth="1"/>
    <col min="9" max="9" width="25.88671875" customWidth="1"/>
  </cols>
  <sheetData>
    <row r="1" spans="1:9" x14ac:dyDescent="0.3">
      <c r="A1" s="21" t="s">
        <v>115</v>
      </c>
      <c r="B1" s="21" t="s">
        <v>117</v>
      </c>
      <c r="C1" s="21" t="s">
        <v>116</v>
      </c>
      <c r="G1" s="21" t="s">
        <v>114</v>
      </c>
      <c r="H1" s="21" t="s">
        <v>32</v>
      </c>
      <c r="I1" s="21" t="s">
        <v>33</v>
      </c>
    </row>
    <row r="2" spans="1:9" ht="43.2" x14ac:dyDescent="0.3">
      <c r="A2" s="3" t="s">
        <v>118</v>
      </c>
      <c r="B2" s="22">
        <v>1</v>
      </c>
      <c r="C2" s="5" t="s">
        <v>119</v>
      </c>
      <c r="G2" s="3" t="s">
        <v>128</v>
      </c>
      <c r="H2" s="3">
        <v>1</v>
      </c>
      <c r="I2" s="5" t="s">
        <v>129</v>
      </c>
    </row>
    <row r="3" spans="1:9" ht="43.2" x14ac:dyDescent="0.3">
      <c r="A3" s="3" t="s">
        <v>120</v>
      </c>
      <c r="B3" s="3">
        <v>2</v>
      </c>
      <c r="C3" s="5" t="s">
        <v>121</v>
      </c>
      <c r="G3" s="3" t="s">
        <v>130</v>
      </c>
      <c r="H3" s="3">
        <v>2</v>
      </c>
      <c r="I3" s="5" t="s">
        <v>131</v>
      </c>
    </row>
    <row r="4" spans="1:9" ht="52.2" customHeight="1" x14ac:dyDescent="0.3">
      <c r="A4" s="3" t="s">
        <v>122</v>
      </c>
      <c r="B4" s="3">
        <v>3</v>
      </c>
      <c r="C4" s="5" t="s">
        <v>123</v>
      </c>
      <c r="G4" s="3" t="s">
        <v>132</v>
      </c>
      <c r="H4" s="3">
        <v>3</v>
      </c>
      <c r="I4" s="5" t="s">
        <v>133</v>
      </c>
    </row>
    <row r="5" spans="1:9" ht="57.6" x14ac:dyDescent="0.3">
      <c r="A5" s="3" t="s">
        <v>124</v>
      </c>
      <c r="B5" s="3">
        <v>4</v>
      </c>
      <c r="C5" s="5" t="s">
        <v>125</v>
      </c>
      <c r="G5" s="3" t="s">
        <v>134</v>
      </c>
      <c r="H5" s="3">
        <v>4</v>
      </c>
      <c r="I5" s="5" t="s">
        <v>135</v>
      </c>
    </row>
    <row r="6" spans="1:9" ht="72" x14ac:dyDescent="0.3">
      <c r="A6" s="3" t="s">
        <v>126</v>
      </c>
      <c r="B6" s="3">
        <v>5</v>
      </c>
      <c r="C6" s="5" t="s">
        <v>127</v>
      </c>
      <c r="G6" s="3" t="s">
        <v>136</v>
      </c>
      <c r="H6" s="3">
        <v>5</v>
      </c>
      <c r="I6" s="5" t="s">
        <v>137</v>
      </c>
    </row>
  </sheetData>
  <conditionalFormatting sqref="A2:C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I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456aa2-65f9-4135-9bfd-6b0472fc0f76">
      <Terms xmlns="http://schemas.microsoft.com/office/infopath/2007/PartnerControls"/>
    </lcf76f155ced4ddcb4097134ff3c332f>
    <TaxCatchAll xmlns="09278d32-0650-4b18-af85-79262d9789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854349F1BD77439C1E34CDF8CF284A" ma:contentTypeVersion="18" ma:contentTypeDescription="Create a new document." ma:contentTypeScope="" ma:versionID="28ee09f00a6f40d1246c47ae518b685e">
  <xsd:schema xmlns:xsd="http://www.w3.org/2001/XMLSchema" xmlns:xs="http://www.w3.org/2001/XMLSchema" xmlns:p="http://schemas.microsoft.com/office/2006/metadata/properties" xmlns:ns2="5e456aa2-65f9-4135-9bfd-6b0472fc0f76" xmlns:ns3="33de44a7-85b3-4abb-980d-8e96377dac63" xmlns:ns4="09278d32-0650-4b18-af85-79262d978988" targetNamespace="http://schemas.microsoft.com/office/2006/metadata/properties" ma:root="true" ma:fieldsID="cf0c67d76e52fc26e282688e8ea1c027" ns2:_="" ns3:_="" ns4:_="">
    <xsd:import namespace="5e456aa2-65f9-4135-9bfd-6b0472fc0f76"/>
    <xsd:import namespace="33de44a7-85b3-4abb-980d-8e96377dac63"/>
    <xsd:import namespace="09278d32-0650-4b18-af85-79262d978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56aa2-65f9-4135-9bfd-6b0472fc0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2adc4a-80e2-451e-aed1-639643a83f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e44a7-85b3-4abb-980d-8e96377dac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78d32-0650-4b18-af85-79262d97898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0f7e0ca-21f0-418b-80c9-5bec03c8562e}" ma:internalName="TaxCatchAll" ma:showField="CatchAllData" ma:web="33de44a7-85b3-4abb-980d-8e96377dac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86CA7A-E6F5-4E2F-A88E-2CAEBCC5D45D}">
  <ds:schemaRefs>
    <ds:schemaRef ds:uri="http://schemas.microsoft.com/office/2006/documentManagement/types"/>
    <ds:schemaRef ds:uri="http://purl.org/dc/terms/"/>
    <ds:schemaRef ds:uri="09278d32-0650-4b18-af85-79262d978988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5e456aa2-65f9-4135-9bfd-6b0472fc0f76"/>
    <ds:schemaRef ds:uri="http://schemas.openxmlformats.org/package/2006/metadata/core-properties"/>
    <ds:schemaRef ds:uri="33de44a7-85b3-4abb-980d-8e96377dac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C6392C-82AA-4835-A5F5-00E4DB739C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BAD42B-7156-4C43-8773-FDC7FDB77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56aa2-65f9-4135-9bfd-6b0472fc0f76"/>
    <ds:schemaRef ds:uri="33de44a7-85b3-4abb-980d-8e96377dac63"/>
    <ds:schemaRef ds:uri="09278d32-0650-4b18-af85-79262d9789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 AMNSRiskRegisterReport</vt:lpstr>
      <vt:lpstr>HeatMap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Bhanu, Abanob - AM/NS India - IT (HAZ)</dc:creator>
  <cp:keywords/>
  <dc:description/>
  <cp:lastModifiedBy>Pari Patel</cp:lastModifiedBy>
  <cp:revision/>
  <dcterms:created xsi:type="dcterms:W3CDTF">2025-11-19T04:19:56Z</dcterms:created>
  <dcterms:modified xsi:type="dcterms:W3CDTF">2026-05-27T10:40:51Z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ad4c17-e81c-43b0-9816-c6e217223acd_Enabled">
    <vt:lpwstr>true</vt:lpwstr>
  </property>
  <property fmtid="{D5CDD505-2E9C-101B-9397-08002B2CF9AE}" pid="3" name="MSIP_Label_68ad4c17-e81c-43b0-9816-c6e217223acd_SetDate">
    <vt:lpwstr>2025-11-19T04:19:56Z</vt:lpwstr>
  </property>
  <property fmtid="{D5CDD505-2E9C-101B-9397-08002B2CF9AE}" pid="4" name="MSIP_Label_68ad4c17-e81c-43b0-9816-c6e217223acd_Method">
    <vt:lpwstr>Standard</vt:lpwstr>
  </property>
  <property fmtid="{D5CDD505-2E9C-101B-9397-08002B2CF9AE}" pid="5" name="MSIP_Label_68ad4c17-e81c-43b0-9816-c6e217223acd_Name">
    <vt:lpwstr>Internal Use - ArcelorMittal Nippon Steel India</vt:lpwstr>
  </property>
  <property fmtid="{D5CDD505-2E9C-101B-9397-08002B2CF9AE}" pid="6" name="MSIP_Label_68ad4c17-e81c-43b0-9816-c6e217223acd_SiteId">
    <vt:lpwstr>37cd273a-1cec-4aae-a297-41480ea54f8d</vt:lpwstr>
  </property>
  <property fmtid="{D5CDD505-2E9C-101B-9397-08002B2CF9AE}" pid="7" name="MSIP_Label_68ad4c17-e81c-43b0-9816-c6e217223acd_ActionId">
    <vt:lpwstr>83e749bd-dc25-47b0-9495-6667b048f1fe</vt:lpwstr>
  </property>
  <property fmtid="{D5CDD505-2E9C-101B-9397-08002B2CF9AE}" pid="8" name="MSIP_Label_68ad4c17-e81c-43b0-9816-c6e217223acd_ContentBits">
    <vt:lpwstr>0</vt:lpwstr>
  </property>
  <property fmtid="{D5CDD505-2E9C-101B-9397-08002B2CF9AE}" pid="9" name="ContentTypeId">
    <vt:lpwstr>0x010100FB854349F1BD77439C1E34CDF8CF284A</vt:lpwstr>
  </property>
  <property fmtid="{D5CDD505-2E9C-101B-9397-08002B2CF9AE}" pid="10" name="MediaServiceImageTags">
    <vt:lpwstr/>
  </property>
</Properties>
</file>